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LLM Requests" sheetId="2" state="visible" r:id="rId2"/>
    <sheet xmlns:r="http://schemas.openxmlformats.org/officeDocument/2006/relationships" name="Prompt Analysis" sheetId="3" state="visible" r:id="rId3"/>
    <sheet xmlns:r="http://schemas.openxmlformats.org/officeDocument/2006/relationships" name="Caching &amp; Scenarios" sheetId="4" state="visible" r:id="rId4"/>
    <sheet xmlns:r="http://schemas.openxmlformats.org/officeDocument/2006/relationships" name="Measurement Gap" sheetId="5" state="visible" r:id="rId5"/>
    <sheet xmlns:r="http://schemas.openxmlformats.org/officeDocument/2006/relationships" name="Audit Notes" sheetId="6" state="visible" r:id="rId6"/>
  </sheets>
  <definedNames>
    <definedName name="_xlnm._FilterDatabase" localSheetId="1" hidden="1">'LLM Requests'!$A$1:$F$9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8"/>
    </font>
    <font>
      <i val="1"/>
      <color rgb="00667085"/>
    </font>
    <font>
      <b val="1"/>
      <color rgb="00F26B38"/>
      <sz val="12"/>
    </font>
    <font>
      <b val="1"/>
    </font>
    <font>
      <b val="1"/>
      <color rgb="00FFFFFF"/>
    </font>
    <font>
      <b val="1"/>
      <color rgb="00F26B38"/>
    </font>
  </fonts>
  <fills count="7">
    <fill>
      <patternFill/>
    </fill>
    <fill>
      <patternFill patternType="gray125"/>
    </fill>
    <fill>
      <patternFill patternType="solid">
        <fgColor rgb="00172033"/>
      </patternFill>
    </fill>
    <fill>
      <patternFill patternType="solid">
        <fgColor rgb="00E8EEF6"/>
      </patternFill>
    </fill>
    <fill>
      <patternFill patternType="solid">
        <fgColor rgb="00F8FAFC"/>
      </patternFill>
    </fill>
    <fill>
      <patternFill patternType="solid">
        <fgColor rgb="00F26B38"/>
      </patternFill>
    </fill>
    <fill>
      <patternFill patternType="solid">
        <fgColor rgb="0020314D"/>
      </patternFill>
    </fill>
  </fills>
  <borders count="3">
    <border>
      <left/>
      <right/>
      <top/>
      <bottom/>
      <diagonal/>
    </border>
    <border>
      <bottom style="thin">
        <color rgb="00D0D5DD"/>
      </bottom>
    </border>
    <border>
      <bottom style="hair">
        <color rgb="00E5E7EB"/>
      </bottom>
    </border>
  </borders>
  <cellStyleXfs count="1">
    <xf numFmtId="0" fontId="0" fillId="0" borderId="0"/>
  </cellStyleXfs>
  <cellXfs count="11">
    <xf numFmtId="0" fontId="0" fillId="0" borderId="0" pivotButton="0" quotePrefix="0" xfId="0"/>
    <xf numFmtId="0" fontId="5" fillId="6" borderId="2" applyAlignment="1" pivotButton="0" quotePrefix="0" xfId="0">
      <alignment vertical="top" wrapText="1"/>
    </xf>
    <xf numFmtId="0" fontId="2" fillId="0" borderId="2" applyAlignment="1" pivotButton="0" quotePrefix="0" xfId="0">
      <alignment vertical="top" wrapText="1"/>
    </xf>
    <xf numFmtId="0" fontId="0" fillId="0" borderId="2" applyAlignment="1" pivotButton="0" quotePrefix="0" xfId="0">
      <alignment vertical="top" wrapText="1"/>
    </xf>
    <xf numFmtId="0" fontId="3" fillId="0" borderId="2" applyAlignment="1" pivotButton="0" quotePrefix="0" xfId="0">
      <alignment vertical="top" wrapText="1"/>
    </xf>
    <xf numFmtId="0" fontId="4" fillId="3" borderId="2" applyAlignment="1" pivotButton="0" quotePrefix="0" xfId="0">
      <alignment vertical="top" wrapText="1"/>
    </xf>
    <xf numFmtId="0" fontId="0" fillId="4" borderId="2" applyAlignment="1" pivotButton="0" quotePrefix="0" xfId="0">
      <alignment vertical="top" wrapText="1"/>
    </xf>
    <xf numFmtId="0" fontId="6" fillId="4" borderId="2" applyAlignment="1" pivotButton="0" quotePrefix="0" xfId="0">
      <alignment vertical="top" wrapText="1"/>
    </xf>
    <xf numFmtId="3" fontId="6" fillId="4" borderId="2" applyAlignment="1" pivotButton="0" quotePrefix="0" xfId="0">
      <alignment vertical="top" wrapText="1"/>
    </xf>
    <xf numFmtId="0" fontId="5" fillId="5" borderId="2" applyAlignment="1" pivotButton="0" quotePrefix="0" xfId="0">
      <alignment vertical="top" wrapText="1"/>
    </xf>
    <xf numFmtId="3"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34" customWidth="1" min="1" max="1"/>
    <col width="28" customWidth="1" min="2" max="2"/>
    <col width="28" customWidth="1" min="3" max="3"/>
    <col width="32" customWidth="1" min="4" max="4"/>
    <col width="30" customWidth="1" min="5" max="5"/>
    <col width="30" customWidth="1" min="6" max="6"/>
  </cols>
  <sheetData>
    <row r="1" ht="32" customHeight="1">
      <c r="A1" s="1" t="inlineStr">
        <is>
          <t>AWA — LLM Usage Analysis</t>
        </is>
      </c>
      <c r="B1" s="1" t="n"/>
      <c r="C1" s="1" t="n"/>
      <c r="D1" s="1" t="n"/>
      <c r="E1" s="1" t="n"/>
      <c r="F1" s="1" t="n"/>
    </row>
    <row r="2">
      <c r="A2" s="2" t="inlineStr">
        <is>
          <t>Manager-ready analysis based on the uploaded AWA codebase and uploaded .yxmd workflow. No estimated token conversion is presented as measured usage.</t>
        </is>
      </c>
      <c r="B2" s="3" t="n"/>
      <c r="C2" s="3" t="n"/>
      <c r="D2" s="3" t="n"/>
      <c r="E2" s="3" t="n"/>
      <c r="F2" s="3" t="n"/>
    </row>
    <row r="3">
      <c r="A3" s="3" t="n"/>
      <c r="B3" s="3" t="n"/>
      <c r="C3" s="3" t="n"/>
      <c r="D3" s="3" t="n"/>
      <c r="E3" s="3" t="n"/>
      <c r="F3" s="3" t="n"/>
    </row>
    <row r="4">
      <c r="A4" s="4" t="inlineStr">
        <is>
          <t>Workflow Facts</t>
        </is>
      </c>
      <c r="B4" s="3" t="n"/>
      <c r="C4" s="3" t="n"/>
      <c r="D4" s="4" t="inlineStr">
        <is>
          <t>Executive Interpretation</t>
        </is>
      </c>
      <c r="E4" s="3" t="n"/>
      <c r="F4" s="3" t="n"/>
    </row>
    <row r="5">
      <c r="A5" s="5" t="inlineStr">
        <is>
          <t>Workflow</t>
        </is>
      </c>
      <c r="B5" s="6" t="inlineStr">
        <is>
          <t>Demo_Claims_Volume_Extract_reconstructed.yxmd</t>
        </is>
      </c>
      <c r="C5" s="3" t="n"/>
      <c r="D5" s="6" t="inlineStr">
        <is>
          <t>• The workflow contains 49 tools and 41 connections.</t>
        </is>
      </c>
      <c r="E5" s="3" t="n"/>
      <c r="F5" s="3" t="n"/>
    </row>
    <row r="6">
      <c r="A6" s="5" t="inlineStr">
        <is>
          <t>Tools</t>
        </is>
      </c>
      <c r="B6" s="6" t="n">
        <v>49</v>
      </c>
      <c r="C6" s="3" t="n"/>
      <c r="D6" s="6" t="inlineStr">
        <is>
          <t>• The application performs six workflow-level narrative generations: Business Purpose, Executive Summary, Methods, Findings, Conclusions and Recommendations.</t>
        </is>
      </c>
      <c r="E6" s="3" t="n"/>
      <c r="F6" s="3" t="n"/>
    </row>
    <row r="7">
      <c r="A7" s="5" t="inlineStr">
        <is>
          <t>Connections</t>
        </is>
      </c>
      <c r="B7" s="6" t="n">
        <v>41</v>
      </c>
      <c r="C7" s="3" t="n"/>
      <c r="D7" s="6" t="inlineStr">
        <is>
          <t>• Tool-specific “What It Does” summaries are generated on demand and cached; a fresh full path can require up to 49 such requests.</t>
        </is>
      </c>
      <c r="E7" s="3" t="n"/>
      <c r="F7" s="3" t="n"/>
    </row>
    <row r="8">
      <c r="A8" s="5" t="inlineStr">
        <is>
          <t>Fresh workflow-level LLM requests</t>
        </is>
      </c>
      <c r="B8" s="6" t="n">
        <v>6</v>
      </c>
      <c r="C8" s="3" t="n"/>
      <c r="D8" s="6" t="inlineStr">
        <is>
          <t>• The calculated 27,700 tokens are a configured MAXIMUM completion allocation, not measured consumption.</t>
        </is>
      </c>
      <c r="E8" s="3" t="n"/>
      <c r="F8" s="3" t="n"/>
    </row>
    <row r="9">
      <c r="A9" s="5" t="inlineStr">
        <is>
          <t>Fresh tool-summary requests (maximum)</t>
        </is>
      </c>
      <c r="B9" s="6" t="n">
        <v>49</v>
      </c>
      <c r="C9" s="3" t="n"/>
      <c r="D9" s="6" t="inlineStr">
        <is>
          <t>• The current client does not capture Azure response usage fields such as prompt_tokens, completion_tokens or total_tokens, so exact token consumption cannot be determined from the current implementation.</t>
        </is>
      </c>
      <c r="E9" s="3" t="n"/>
      <c r="F9" s="3" t="n"/>
    </row>
    <row r="10">
      <c r="A10" s="5" t="inlineStr">
        <is>
          <t>Fresh LLM requests — total maximum</t>
        </is>
      </c>
      <c r="B10" s="7" t="n">
        <v>55</v>
      </c>
      <c r="C10" s="3" t="n"/>
      <c r="D10" s="6" t="inlineStr">
        <is>
          <t>• Exact prompt character counts are reported separately; they are not converted to tokens because that would require the deployed model's tokenizer.</t>
        </is>
      </c>
      <c r="E10" s="3" t="n"/>
      <c r="F10" s="3" t="n"/>
    </row>
    <row r="11">
      <c r="A11" s="5" t="inlineStr">
        <is>
          <t>Maximum completion-token allocation</t>
        </is>
      </c>
      <c r="B11" s="8" t="n">
        <v>27700</v>
      </c>
      <c r="C11" s="3" t="n"/>
      <c r="D11" s="3" t="n"/>
      <c r="E11" s="3" t="n"/>
      <c r="F11" s="3" t="n"/>
    </row>
    <row r="12">
      <c r="A12" s="3" t="n"/>
      <c r="B12" s="3" t="n"/>
      <c r="C12" s="3" t="n"/>
      <c r="D12" s="3" t="n"/>
      <c r="E12" s="3" t="n"/>
      <c r="F12" s="3" t="n"/>
    </row>
    <row r="13">
      <c r="A13" s="9" t="inlineStr">
        <is>
          <t>CRITICAL: Maximum allocation is not actual token consumption</t>
        </is>
      </c>
      <c r="B13" s="3" t="n"/>
      <c r="C13" s="3" t="n"/>
      <c r="D13" s="3" t="n"/>
      <c r="E13" s="3" t="n"/>
      <c r="F13" s="3" t="n"/>
    </row>
    <row r="14">
      <c r="A14" s="3" t="inlineStr">
        <is>
          <t>Actual usage requires input/prompt tokens plus generated output tokens from the provider response. The current implementation reads the generated message content but does not persist the response usage object. Therefore this workbook intentionally reports request counts, configured maximum completion limits, and exact character counts where verified — not invented token totals.</t>
        </is>
      </c>
      <c r="B14" s="3" t="n"/>
      <c r="C14" s="3" t="n"/>
      <c r="D14" s="3" t="n"/>
      <c r="E14" s="3" t="n"/>
      <c r="F14" s="3" t="n"/>
    </row>
    <row r="15">
      <c r="A15" s="3" t="n"/>
      <c r="B15" s="3" t="n"/>
      <c r="C15" s="3" t="n"/>
      <c r="D15" s="3" t="n"/>
      <c r="E15" s="3" t="n"/>
      <c r="F15" s="3" t="n"/>
    </row>
    <row r="16">
      <c r="A16" s="3" t="n"/>
      <c r="B16" s="3" t="n"/>
      <c r="C16" s="3" t="n"/>
      <c r="D16" s="3" t="n"/>
      <c r="E16" s="3" t="n"/>
      <c r="F16" s="3" t="n"/>
    </row>
    <row r="17">
      <c r="A17" s="4" t="inlineStr">
        <is>
          <t>How to use this workbook</t>
        </is>
      </c>
      <c r="B17" s="3" t="n"/>
      <c r="C17" s="3" t="n"/>
      <c r="D17" s="3" t="n"/>
      <c r="E17" s="3" t="n"/>
      <c r="F17" s="3" t="n"/>
    </row>
    <row r="18">
      <c r="A18" s="3" t="inlineStr">
        <is>
          <t>LLM Requests: request volume and maximum completion allocation. Prompt Analysis: exact prompt character volume. Caching &amp; Scenarios: why repeated operations can produce fewer Azure calls. Measurement Gap: what telemetry must be added to obtain actual per-workflow token usage.</t>
        </is>
      </c>
      <c r="B18" s="3" t="n"/>
      <c r="C18" s="3" t="n"/>
      <c r="D18" s="3" t="n"/>
      <c r="E18" s="3" t="n"/>
      <c r="F18" s="3" t="n"/>
    </row>
    <row r="19">
      <c r="A19" s="3" t="n"/>
      <c r="B19" s="3" t="n"/>
      <c r="C19" s="3" t="n"/>
      <c r="D19" s="3" t="n"/>
      <c r="E19" s="3" t="n"/>
      <c r="F19" s="3" t="n"/>
    </row>
    <row r="20">
      <c r="A20" s="3" t="n"/>
      <c r="B20" s="3" t="n"/>
      <c r="C20" s="3" t="n"/>
      <c r="D20" s="3" t="n"/>
      <c r="E20" s="3" t="n"/>
      <c r="F20" s="3" t="n"/>
    </row>
  </sheetData>
  <mergeCells count="13">
    <mergeCell ref="A4:B4"/>
    <mergeCell ref="A2:F2"/>
    <mergeCell ref="D5:F5"/>
    <mergeCell ref="A13:F13"/>
    <mergeCell ref="A1:F1"/>
    <mergeCell ref="D4:F4"/>
    <mergeCell ref="A14:F15"/>
    <mergeCell ref="A18:F20"/>
    <mergeCell ref="D9:F9"/>
    <mergeCell ref="D7:F7"/>
    <mergeCell ref="D8:F8"/>
    <mergeCell ref="D6:F6"/>
    <mergeCell ref="D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28" customWidth="1" min="1" max="1"/>
    <col width="48" customWidth="1" min="2" max="2"/>
    <col width="25" customWidth="1" min="3" max="3"/>
    <col width="32" customWidth="1" min="4" max="4"/>
    <col width="28" customWidth="1" min="5" max="5"/>
    <col width="28" customWidth="1" min="6" max="6"/>
  </cols>
  <sheetData>
    <row r="1" ht="32" customHeight="1">
      <c r="A1" s="1" t="inlineStr">
        <is>
          <t>Generation</t>
        </is>
      </c>
      <c r="B1" s="1" t="inlineStr">
        <is>
          <t>Purpose</t>
        </is>
      </c>
      <c r="C1" s="1" t="inlineStr">
        <is>
          <t>Requests / Fresh Workflow</t>
        </is>
      </c>
      <c r="D1" s="1" t="inlineStr">
        <is>
          <t>Max Completion Tokens / Request</t>
        </is>
      </c>
      <c r="E1" s="1" t="inlineStr">
        <is>
          <t>Maximum Completion Tokens</t>
        </is>
      </c>
      <c r="F1" s="1" t="inlineStr">
        <is>
          <t>When Called</t>
        </is>
      </c>
    </row>
    <row r="2">
      <c r="A2" s="3" t="inlineStr">
        <is>
          <t>Business Purpose</t>
        </is>
      </c>
      <c r="B2" s="3" t="inlineStr">
        <is>
          <t>AI-generated Overview business purpose</t>
        </is>
      </c>
      <c r="C2" s="10" t="n">
        <v>1</v>
      </c>
      <c r="D2" s="10" t="n">
        <v>500</v>
      </c>
      <c r="E2" s="10">
        <f>C2*D2</f>
        <v/>
      </c>
      <c r="F2" s="3" t="inlineStr">
        <is>
          <t>Canonical analysis</t>
        </is>
      </c>
    </row>
    <row r="3">
      <c r="A3" s="3" t="inlineStr">
        <is>
          <t>Executive Summary</t>
        </is>
      </c>
      <c r="B3" s="3" t="inlineStr">
        <is>
          <t>AI-generated Business Report executive summary</t>
        </is>
      </c>
      <c r="C3" s="10" t="n">
        <v>1</v>
      </c>
      <c r="D3" s="10" t="n">
        <v>600</v>
      </c>
      <c r="E3" s="10">
        <f>C3*D3</f>
        <v/>
      </c>
      <c r="F3" s="3" t="inlineStr">
        <is>
          <t>Canonical analysis</t>
        </is>
      </c>
    </row>
    <row r="4">
      <c r="A4" s="3" t="inlineStr">
        <is>
          <t>Methods of Analysis</t>
        </is>
      </c>
      <c r="B4" s="3" t="inlineStr">
        <is>
          <t>AI-generated Business Report methods section</t>
        </is>
      </c>
      <c r="C4" s="10" t="n">
        <v>1</v>
      </c>
      <c r="D4" s="10" t="n">
        <v>500</v>
      </c>
      <c r="E4" s="10">
        <f>C4*D4</f>
        <v/>
      </c>
      <c r="F4" s="3" t="inlineStr">
        <is>
          <t>Canonical analysis</t>
        </is>
      </c>
    </row>
    <row r="5">
      <c r="A5" s="3" t="inlineStr">
        <is>
          <t>Findings</t>
        </is>
      </c>
      <c r="B5" s="3" t="inlineStr">
        <is>
          <t>AI-generated Business Report findings section</t>
        </is>
      </c>
      <c r="C5" s="10" t="n">
        <v>1</v>
      </c>
      <c r="D5" s="10" t="n">
        <v>700</v>
      </c>
      <c r="E5" s="10">
        <f>C5*D5</f>
        <v/>
      </c>
      <c r="F5" s="3" t="inlineStr">
        <is>
          <t>Canonical analysis</t>
        </is>
      </c>
    </row>
    <row r="6">
      <c r="A6" s="3" t="inlineStr">
        <is>
          <t>Conclusions</t>
        </is>
      </c>
      <c r="B6" s="3" t="inlineStr">
        <is>
          <t>AI-generated Business Report conclusions section</t>
        </is>
      </c>
      <c r="C6" s="10" t="n">
        <v>1</v>
      </c>
      <c r="D6" s="10" t="n">
        <v>400</v>
      </c>
      <c r="E6" s="10">
        <f>C6*D6</f>
        <v/>
      </c>
      <c r="F6" s="3" t="inlineStr">
        <is>
          <t>Canonical analysis</t>
        </is>
      </c>
    </row>
    <row r="7">
      <c r="A7" s="3" t="inlineStr">
        <is>
          <t>Recommendations</t>
        </is>
      </c>
      <c r="B7" s="3" t="inlineStr">
        <is>
          <t>AI-generated Business Report recommendations section</t>
        </is>
      </c>
      <c r="C7" s="10" t="n">
        <v>1</v>
      </c>
      <c r="D7" s="10" t="n">
        <v>500</v>
      </c>
      <c r="E7" s="10">
        <f>C7*D7</f>
        <v/>
      </c>
      <c r="F7" s="3" t="inlineStr">
        <is>
          <t>Canonical analysis</t>
        </is>
      </c>
    </row>
    <row r="8">
      <c r="A8" s="3" t="inlineStr">
        <is>
          <t>Tool What It Does</t>
        </is>
      </c>
      <c r="B8" s="3" t="inlineStr">
        <is>
          <t>Workflow-specific explanation shown in DAG card</t>
        </is>
      </c>
      <c r="C8" s="10" t="n">
        <v>49</v>
      </c>
      <c r="D8" s="10" t="n">
        <v>500</v>
      </c>
      <c r="E8" s="10">
        <f>C8*D8</f>
        <v/>
      </c>
      <c r="F8" s="3" t="inlineStr">
        <is>
          <t>On demand / uncached tools</t>
        </is>
      </c>
    </row>
    <row r="9">
      <c r="A9" s="3" t="inlineStr">
        <is>
          <t>TOTAL</t>
        </is>
      </c>
      <c r="B9" s="3" t="inlineStr"/>
      <c r="C9" s="10">
        <f>SUM(C2:C8)</f>
        <v/>
      </c>
      <c r="D9" s="3" t="inlineStr"/>
      <c r="E9" s="10">
        <f>SUM(E2:E8)</f>
        <v/>
      </c>
      <c r="F9" s="3" t="inlineStr">
        <is>
          <t>Fresh workflow + all uncached tool summaries</t>
        </is>
      </c>
    </row>
  </sheetData>
  <autoFilter ref="A1:F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28" customWidth="1" min="1" max="1"/>
    <col width="25" customWidth="1" min="2" max="2"/>
    <col width="25" customWidth="1" min="3" max="3"/>
    <col width="27" customWidth="1" min="4" max="4"/>
    <col width="38" customWidth="1" min="5" max="5"/>
  </cols>
  <sheetData>
    <row r="1" ht="32" customHeight="1">
      <c r="A1" s="1" t="inlineStr">
        <is>
          <t>Generation</t>
        </is>
      </c>
      <c r="B1" s="1" t="inlineStr">
        <is>
          <t>System Prompt Characters</t>
        </is>
      </c>
      <c r="C1" s="1" t="inlineStr">
        <is>
          <t>User Prompt Characters</t>
        </is>
      </c>
      <c r="D1" s="1" t="inlineStr">
        <is>
          <t>Total Prompt Characters</t>
        </is>
      </c>
      <c r="E1" s="1" t="inlineStr">
        <is>
          <t>Basis</t>
        </is>
      </c>
    </row>
    <row r="2">
      <c r="A2" s="3" t="inlineStr">
        <is>
          <t>Business Purpose</t>
        </is>
      </c>
      <c r="B2" s="3" t="n">
        <v>726</v>
      </c>
      <c r="C2" s="3" t="n">
        <v>8884</v>
      </c>
      <c r="D2" s="3" t="n">
        <v>9610</v>
      </c>
      <c r="E2" s="3" t="inlineStr">
        <is>
          <t>Verified from code + uploaded workflow</t>
        </is>
      </c>
    </row>
    <row r="3">
      <c r="A3" s="3" t="inlineStr">
        <is>
          <t>Executive Summary</t>
        </is>
      </c>
      <c r="B3" s="3" t="n">
        <v>749</v>
      </c>
      <c r="C3" s="3" t="n">
        <v>8907</v>
      </c>
      <c r="D3" s="3" t="n">
        <v>9656</v>
      </c>
      <c r="E3" s="3" t="inlineStr">
        <is>
          <t>Verified from code + uploaded workflow</t>
        </is>
      </c>
    </row>
    <row r="4">
      <c r="A4" s="3" t="inlineStr">
        <is>
          <t>Methods of Analysis</t>
        </is>
      </c>
      <c r="B4" s="3" t="n">
        <v>1222</v>
      </c>
      <c r="C4" s="3" t="n">
        <v>8956</v>
      </c>
      <c r="D4" s="3" t="n">
        <v>10178</v>
      </c>
      <c r="E4" s="3" t="inlineStr">
        <is>
          <t>Verified from code + uploaded workflow</t>
        </is>
      </c>
    </row>
    <row r="5">
      <c r="A5" s="3" t="inlineStr">
        <is>
          <t>Findings</t>
        </is>
      </c>
      <c r="B5" s="3" t="n">
        <v>1598</v>
      </c>
      <c r="C5" s="3" t="n">
        <v>8919</v>
      </c>
      <c r="D5" s="3" t="n">
        <v>10517</v>
      </c>
      <c r="E5" s="3" t="inlineStr">
        <is>
          <t>Verified from code + uploaded workflow</t>
        </is>
      </c>
    </row>
    <row r="6">
      <c r="A6" s="3" t="inlineStr">
        <is>
          <t>Conclusions</t>
        </is>
      </c>
      <c r="B6" s="3" t="n">
        <v>941</v>
      </c>
      <c r="C6" s="3" t="n">
        <v>8937</v>
      </c>
      <c r="D6" s="3" t="n">
        <v>9878</v>
      </c>
      <c r="E6" s="3" t="inlineStr">
        <is>
          <t>Verified from code + uploaded workflow</t>
        </is>
      </c>
    </row>
    <row r="7">
      <c r="A7" s="3" t="inlineStr">
        <is>
          <t>Recommendations</t>
        </is>
      </c>
      <c r="B7" s="3" t="n">
        <v>1119</v>
      </c>
      <c r="C7" s="3" t="n">
        <v>8937</v>
      </c>
      <c r="D7" s="3" t="n">
        <v>10056</v>
      </c>
      <c r="E7" s="3" t="inlineStr">
        <is>
          <t>Verified from code + uploaded workflow</t>
        </is>
      </c>
    </row>
    <row r="8">
      <c r="A8" s="3" t="inlineStr">
        <is>
          <t>TOTAL WORKFLOW-LEVEL PROMPTS</t>
        </is>
      </c>
      <c r="B8" s="3" t="inlineStr"/>
      <c r="C8" s="3" t="inlineStr"/>
      <c r="D8" s="3" t="n">
        <v>59895</v>
      </c>
      <c r="E8" s="3" t="inlineStr">
        <is>
          <t>Character count only</t>
        </is>
      </c>
    </row>
    <row r="9">
      <c r="A9" s="3" t="inlineStr">
        <is>
          <t>Tool What It Does — all tools</t>
        </is>
      </c>
      <c r="B9" s="3" t="inlineStr"/>
      <c r="C9" s="3" t="inlineStr"/>
      <c r="D9" s="3" t="n">
        <v>101199</v>
      </c>
      <c r="E9" s="3" t="inlineStr">
        <is>
          <t>Verified aggregate for 49 tools</t>
        </is>
      </c>
    </row>
    <row r="10">
      <c r="A10" s="3" t="inlineStr">
        <is>
          <t>Tool What It Does — average / tool</t>
        </is>
      </c>
      <c r="B10" s="3" t="inlineStr"/>
      <c r="C10" s="3" t="inlineStr"/>
      <c r="D10" s="3" t="n">
        <v>2065.285714285714</v>
      </c>
      <c r="E10" s="3" t="inlineStr">
        <is>
          <t>Aggregate divided by tool count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46" customWidth="1" min="1" max="1"/>
    <col width="24" customWidth="1" min="2" max="2"/>
    <col width="24" customWidth="1" min="3" max="3"/>
    <col width="22" customWidth="1" min="4" max="4"/>
    <col width="30" customWidth="1" min="5" max="5"/>
    <col width="55" customWidth="1" min="6" max="6"/>
  </cols>
  <sheetData>
    <row r="1" ht="32" customHeight="1">
      <c r="A1" s="1" t="inlineStr">
        <is>
          <t>Scenario</t>
        </is>
      </c>
      <c r="B1" s="1" t="inlineStr">
        <is>
          <t>Workflow-Level Requests</t>
        </is>
      </c>
      <c r="C1" s="1" t="inlineStr">
        <is>
          <t>Tool Summary Requests</t>
        </is>
      </c>
      <c r="D1" s="1" t="inlineStr">
        <is>
          <t>Total LLM Requests</t>
        </is>
      </c>
      <c r="E1" s="1" t="inlineStr">
        <is>
          <t>Maximum Completion Tokens</t>
        </is>
      </c>
      <c r="F1" s="1" t="inlineStr">
        <is>
          <t>Meaning</t>
        </is>
      </c>
    </row>
    <row r="2">
      <c r="A2" s="3" t="inlineStr">
        <is>
          <t>Fresh analysis; workflow narratives only</t>
        </is>
      </c>
      <c r="B2" s="3" t="n">
        <v>6</v>
      </c>
      <c r="C2" s="10" t="n">
        <v>0</v>
      </c>
      <c r="D2" s="10" t="n">
        <v>6</v>
      </c>
      <c r="E2" s="10" t="n">
        <v>3200</v>
      </c>
      <c r="F2" s="3" t="inlineStr">
        <is>
          <t>Six workflow-level generations.</t>
        </is>
      </c>
    </row>
    <row r="3">
      <c r="A3" s="3" t="inlineStr">
        <is>
          <t>Fresh analysis + all tool summaries uncached</t>
        </is>
      </c>
      <c r="B3" s="3" t="n">
        <v>6</v>
      </c>
      <c r="C3" s="10" t="n">
        <v>49</v>
      </c>
      <c r="D3" s="10" t="n">
        <v>55</v>
      </c>
      <c r="E3" s="10" t="n">
        <v>27700</v>
      </c>
      <c r="F3" s="3" t="inlineStr">
        <is>
          <t>Upper-bound fresh request volume.</t>
        </is>
      </c>
    </row>
    <row r="4">
      <c r="A4" s="3" t="inlineStr">
        <is>
          <t>All relevant tool summaries already cached</t>
        </is>
      </c>
      <c r="B4" s="3" t="n">
        <v>6</v>
      </c>
      <c r="C4" s="10" t="n">
        <v>0</v>
      </c>
      <c r="D4" s="10" t="n">
        <v>6</v>
      </c>
      <c r="E4" s="10" t="n">
        <v>3200</v>
      </c>
      <c r="F4" s="3" t="inlineStr">
        <is>
          <t>Cached tool summaries avoid repeat Azure calls.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2" customWidth="1" min="1" max="1"/>
    <col width="22" customWidth="1" min="2" max="2"/>
    <col width="65" customWidth="1" min="3" max="3"/>
    <col width="55" customWidth="1" min="4" max="4"/>
  </cols>
  <sheetData>
    <row r="1" ht="32" customHeight="1">
      <c r="A1" s="1" t="inlineStr">
        <is>
          <t>Metric</t>
        </is>
      </c>
      <c r="B1" s="1" t="inlineStr">
        <is>
          <t>Current Status</t>
        </is>
      </c>
      <c r="C1" s="1" t="inlineStr">
        <is>
          <t>Evidence from implementation</t>
        </is>
      </c>
      <c r="D1" s="1" t="inlineStr">
        <is>
          <t>Required for exact measurement</t>
        </is>
      </c>
    </row>
    <row r="2">
      <c r="A2" s="3" t="inlineStr">
        <is>
          <t>Prompt / input tokens</t>
        </is>
      </c>
      <c r="B2" s="3" t="inlineStr">
        <is>
          <t>NOT CAPTURED</t>
        </is>
      </c>
      <c r="C2" s="3" t="inlineStr">
        <is>
          <t>Client does not persist provider usage fields.</t>
        </is>
      </c>
      <c r="D2" s="3" t="inlineStr">
        <is>
          <t>Capture response usage.prompt_tokens or provider equivalent.</t>
        </is>
      </c>
    </row>
    <row r="3">
      <c r="A3" s="3" t="inlineStr">
        <is>
          <t>Completion / output tokens</t>
        </is>
      </c>
      <c r="B3" s="3" t="inlineStr">
        <is>
          <t>NOT CAPTURED</t>
        </is>
      </c>
      <c r="C3" s="3" t="inlineStr">
        <is>
          <t>Client reads message content but does not persist usage.</t>
        </is>
      </c>
      <c r="D3" s="3" t="inlineStr">
        <is>
          <t>Capture response usage.completion_tokens or provider equivalent.</t>
        </is>
      </c>
    </row>
    <row r="4">
      <c r="A4" s="3" t="inlineStr">
        <is>
          <t>Total tokens</t>
        </is>
      </c>
      <c r="B4" s="3" t="inlineStr">
        <is>
          <t>NOT CAPTURED</t>
        </is>
      </c>
      <c r="C4" s="3" t="inlineStr">
        <is>
          <t>No total usage value is stored per request.</t>
        </is>
      </c>
      <c r="D4" s="3" t="inlineStr">
        <is>
          <t>Capture response usage.total_tokens.</t>
        </is>
      </c>
    </row>
    <row r="5">
      <c r="A5" s="3" t="inlineStr">
        <is>
          <t>Maximum completion allocation</t>
        </is>
      </c>
      <c r="B5" s="3" t="inlineStr">
        <is>
          <t>CALCULATED</t>
        </is>
      </c>
      <c r="C5" s="3" t="inlineStr">
        <is>
          <t>Sum of configured max_tokens across the fresh-request scenario.</t>
        </is>
      </c>
      <c r="D5" s="3" t="inlineStr">
        <is>
          <t>No telemetry needed; it is a configured upper bound.</t>
        </is>
      </c>
    </row>
    <row r="6">
      <c r="A6" s="3" t="inlineStr">
        <is>
          <t>Prompt character counts</t>
        </is>
      </c>
      <c r="B6" s="3" t="inlineStr">
        <is>
          <t>CALCULATED</t>
        </is>
      </c>
      <c r="C6" s="3" t="inlineStr">
        <is>
          <t>Exact character counts from generated prompts for the uploaded workflow.</t>
        </is>
      </c>
      <c r="D6" s="3" t="inlineStr">
        <is>
          <t>Do not present as tokens without the deployed tokenizer.</t>
        </is>
      </c>
    </row>
    <row r="7">
      <c r="A7" s="3" t="inlineStr">
        <is>
          <t>Actual tokens per workflow</t>
        </is>
      </c>
      <c r="B7" s="3" t="inlineStr">
        <is>
          <t>UNAVAILABLE</t>
        </is>
      </c>
      <c r="C7" s="3" t="inlineStr">
        <is>
          <t>No per-request usage telemetry is persisted.</t>
        </is>
      </c>
      <c r="D7" s="3" t="inlineStr">
        <is>
          <t>Record usage keyed by analysis_id + generation type + tool_id.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32" customHeight="1">
      <c r="A1" s="1" t="inlineStr">
        <is>
          <t>Item</t>
        </is>
      </c>
      <c r="B1" s="1" t="inlineStr">
        <is>
          <t>Note</t>
        </is>
      </c>
    </row>
    <row r="2">
      <c r="A2" s="3" t="inlineStr">
        <is>
          <t>Source</t>
        </is>
      </c>
      <c r="B2" s="3" t="inlineStr">
        <is>
          <t>Uploaded Code.zip and uploaded .yxmd workflow.</t>
        </is>
      </c>
    </row>
    <row r="3">
      <c r="A3" s="3" t="inlineStr">
        <is>
          <t>Workflow facts</t>
        </is>
      </c>
      <c r="B3" s="3" t="inlineStr">
        <is>
          <t>XML parsing of the uploaded workflow yields 49 Node elements and 41 Connection elements.</t>
        </is>
      </c>
    </row>
    <row r="4">
      <c r="A4" s="3" t="inlineStr">
        <is>
          <t>Request methodology</t>
        </is>
      </c>
      <c r="B4" s="3" t="inlineStr">
        <is>
          <t>Six workflow-level generations plus one tool-summary request for each uncached tool.</t>
        </is>
      </c>
    </row>
    <row r="5">
      <c r="A5" s="3" t="inlineStr">
        <is>
          <t>Maximum-token methodology</t>
        </is>
      </c>
      <c r="B5" s="3" t="inlineStr">
        <is>
          <t>Requests × configured max_tokens. This is an output limit, not actual consumption.</t>
        </is>
      </c>
    </row>
    <row r="6">
      <c r="A6" s="3" t="inlineStr">
        <is>
          <t>Token conversion</t>
        </is>
      </c>
      <c r="B6" s="3" t="inlineStr">
        <is>
          <t>No character-to-token conversion is used; such conversion would be tokenizer/model dependent.</t>
        </is>
      </c>
    </row>
    <row r="7">
      <c r="A7" s="3" t="inlineStr">
        <is>
          <t>Caching</t>
        </is>
      </c>
      <c r="B7" s="3" t="inlineStr">
        <is>
          <t>Successful generated content is cached, so subsequent identical requests can avoid Azure calls.</t>
        </is>
      </c>
    </row>
    <row r="8">
      <c r="A8" s="3" t="inlineStr">
        <is>
          <t>Security</t>
        </is>
      </c>
      <c r="B8" s="3" t="inlineStr">
        <is>
          <t>No API key, endpoint secret, or credential value is included in this workbook.</t>
        </is>
      </c>
    </row>
    <row r="9">
      <c r="A9" s="3" t="inlineStr">
        <is>
          <t>Manager takeaway</t>
        </is>
      </c>
      <c r="B9" s="3" t="inlineStr">
        <is>
          <t>Current code supports auditable request-volume and output-limit analysis; exact token consumption requires response-usage telemetry.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2026-08-25T11:06:05Z</dcterms:created>
  <dcterms:modified xmlns:dcterms="http://purl.org/dc/terms/" xmlns:xsi="http://www.w3.org/2001/XMLSchema-instance" xsi:type="dcterms:W3CDTF">2026-08-25T11:06:05Z</dcterms:modified>
</cp:coreProperties>
</file>